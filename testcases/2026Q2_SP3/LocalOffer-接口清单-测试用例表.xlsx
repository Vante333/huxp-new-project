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" sheetId="1" state="visible" r:id="rId1"/>
    <sheet name="接口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接口自动化完成率统计</t>
        </is>
      </c>
    </row>
    <row r="3">
      <c r="A3" s="2" t="inlineStr">
        <is>
          <t>维度</t>
        </is>
      </c>
      <c r="B3" s="2" t="inlineStr">
        <is>
          <t>用例总数</t>
        </is>
      </c>
      <c r="C3" s="2" t="inlineStr">
        <is>
          <t>已补充数</t>
        </is>
      </c>
      <c r="D3" s="2" t="inlineStr">
        <is>
          <t>完成率</t>
        </is>
      </c>
    </row>
    <row r="4">
      <c r="A4" t="inlineStr">
        <is>
          <t>P0</t>
        </is>
      </c>
      <c r="B4">
        <f>COUNTIF('接口用例'!$F:$F,"P0")</f>
        <v/>
      </c>
      <c r="C4">
        <f>COUNTIFS('接口用例'!$F:$F,"P0",'接口用例'!$H:$H,"已补充")</f>
        <v/>
      </c>
      <c r="D4" s="3">
        <f>IF(B4=0,"N/A",C4/B4)</f>
        <v/>
      </c>
    </row>
    <row r="5">
      <c r="A5" t="inlineStr">
        <is>
          <t>P1</t>
        </is>
      </c>
      <c r="B5">
        <f>COUNTIF('接口用例'!$F:$F,"P1")</f>
        <v/>
      </c>
      <c r="C5">
        <f>COUNTIFS('接口用例'!$F:$F,"P1",'接口用例'!$H:$H,"已补充")</f>
        <v/>
      </c>
      <c r="D5" s="3">
        <f>IF(B5=0,"N/A",C5/B5)</f>
        <v/>
      </c>
    </row>
    <row r="6">
      <c r="A6" t="inlineStr">
        <is>
          <t>合计</t>
        </is>
      </c>
      <c r="B6">
        <f>B4+B5</f>
        <v/>
      </c>
      <c r="C6">
        <f>C4+C5</f>
        <v/>
      </c>
      <c r="D6" s="3">
        <f>IF(B6=0,"N/A",C6/B6)</f>
        <v/>
      </c>
    </row>
    <row r="8">
      <c r="A8" s="4" t="inlineStr">
        <is>
          <t>说明</t>
        </is>
      </c>
    </row>
    <row r="9">
      <c r="A9" t="inlineStr">
        <is>
          <t>「接口自动化」列默认「已补充」；修改「接口用例」sheet 中该列后，本表完成率自动重算。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8" customWidth="1" min="12" max="12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备注</t>
        </is>
      </c>
    </row>
    <row r="2">
      <c r="A2" s="6" t="inlineStr">
        <is>
          <t>Membership-Extensions扩展-</t>
        </is>
      </c>
      <c r="B2" s="6" t="inlineStr">
        <is>
          <t>Update Membership Extensions</t>
        </is>
      </c>
      <c r="C2" s="6" t="inlineStr">
        <is>
          <t>携带有效 Token 与 X-Request-ID，对已注册 membershipId 更新 extensions 非标字段（UPSERT/DELETE）</t>
        </is>
      </c>
      <c r="D2" s="6" t="inlineStr">
        <is>
          <t>PATCH /v2/memberships/extensions — Update Membership Extensions</t>
        </is>
      </c>
      <c r="E2" s="6" t="inlineStr">
        <is>
          <t>返回 HTTP 200，code=0；extensions 字段更新成功</t>
        </is>
      </c>
      <c r="F2" s="6" t="inlineStr">
        <is>
          <t>P1</t>
        </is>
      </c>
      <c r="G2" s="6" t="inlineStr">
        <is>
          <t>接口</t>
        </is>
      </c>
      <c r="H2" s="6" t="inlineStr">
        <is>
          <t>已覆盖</t>
        </is>
      </c>
      <c r="I2" s="6" t="n"/>
      <c r="J2" s="6" t="n"/>
      <c r="K2" s="6" t="n"/>
      <c r="L2" s="6" t="inlineStr">
        <is>
          <t>脑图路径=Membership-Extensions扩展-；Apifox API main BranchId=309401；PAPI-2548</t>
        </is>
      </c>
    </row>
    <row r="3">
      <c r="A3" s="6" t="inlineStr">
        <is>
          <t>公共能力-ProjectResources项目资源-</t>
        </is>
      </c>
      <c r="B3" s="6" t="inlineStr">
        <is>
          <t>RetrieveProjectResourcesList</t>
        </is>
      </c>
      <c r="C3" s="6" t="inlineStr">
        <is>
          <t>携带有效 Token，传入合法 projectId 与单个 module 查询项目可用资源列表</t>
        </is>
      </c>
      <c r="D3" s="6" t="inlineStr">
        <is>
          <t>GET /api/v2/projects/{projectId}/resources — RetrieveProjectResourcesList</t>
        </is>
      </c>
      <c r="E3" s="6" t="inlineStr">
        <is>
          <t>返回 HTTP 200，code=0；返回指定 module 下项目可用资源列表（分页）</t>
        </is>
      </c>
      <c r="F3" s="6" t="inlineStr">
        <is>
          <t>P1</t>
        </is>
      </c>
      <c r="G3" s="6" t="inlineStr">
        <is>
          <t>接口</t>
        </is>
      </c>
      <c r="H3" s="6" t="inlineStr">
        <is>
          <t>未覆盖</t>
        </is>
      </c>
      <c r="I3" s="6" t="n"/>
      <c r="J3" s="6" t="n"/>
      <c r="K3" s="6" t="n"/>
      <c r="L3" s="6" t="inlineStr">
        <is>
          <t>脑图路径=公共能力-ProjectResources项目资源-；Apifox API main BranchId=309401；PAPI-2553</t>
        </is>
      </c>
    </row>
    <row r="4">
      <c r="A4" s="6" t="inlineStr">
        <is>
          <t>公共能力-ProjectResources项目资源-</t>
        </is>
      </c>
      <c r="B4" s="6" t="inlineStr">
        <is>
          <t>RetrieveProjectResourcesList</t>
        </is>
      </c>
      <c r="C4" s="6" t="inlineStr">
        <is>
          <t>携带有效 Token，传入合法 projectId 与单个 module 查询项目可用资源列表</t>
        </is>
      </c>
      <c r="D4" s="6" t="inlineStr">
        <is>
          <t>GET /v2/projects/{projectId}/resources — RetrieveProjectResourcesList</t>
        </is>
      </c>
      <c r="E4" s="6" t="inlineStr">
        <is>
          <t>返回 HTTP 200，code=0；返回指定 module 下项目可用资源列表（分页）</t>
        </is>
      </c>
      <c r="F4" s="6" t="inlineStr">
        <is>
          <t>P1</t>
        </is>
      </c>
      <c r="G4" s="6" t="inlineStr">
        <is>
          <t>接口</t>
        </is>
      </c>
      <c r="H4" s="6" t="inlineStr">
        <is>
          <t>未覆盖</t>
        </is>
      </c>
      <c r="I4" s="6" t="n"/>
      <c r="J4" s="6" t="n"/>
      <c r="K4" s="6" t="n"/>
      <c r="L4" s="6" t="inlineStr">
        <is>
          <t>脑图路径=公共能力-ProjectResources项目资源-；Apifox API main BranchId=309401；PAPI-2553；与 /api/v2 路径等价口径待联调确认</t>
        </is>
      </c>
    </row>
    <row r="5">
      <c r="A5" s="6" t="inlineStr">
        <is>
          <t>公共能力-ProgramResources批量查询-</t>
        </is>
      </c>
      <c r="B5" s="6" t="inlineStr">
        <is>
          <t>BatchRetrieveProgramResources</t>
        </is>
      </c>
      <c r="C5" s="6" t="inlineStr">
        <is>
          <t>携带有效 Token，传入合法 programIds 与单个 module 批量查询各 program 可用资源</t>
        </is>
      </c>
      <c r="D5" s="6" t="inlineStr">
        <is>
          <t>POST /v2/programs/resources/batch — BatchRetrieveProgramResources</t>
        </is>
      </c>
      <c r="E5" s="6" t="inlineStr">
        <is>
          <t>返回 HTTP 200，code=0；批量返回各 program 可用资源列表</t>
        </is>
      </c>
      <c r="F5" s="6" t="inlineStr">
        <is>
          <t>P1</t>
        </is>
      </c>
      <c r="G5" s="6" t="inlineStr">
        <is>
          <t>接口</t>
        </is>
      </c>
      <c r="H5" s="6" t="inlineStr">
        <is>
          <t>未覆盖</t>
        </is>
      </c>
      <c r="I5" s="6" t="n"/>
      <c r="J5" s="6" t="n"/>
      <c r="K5" s="6" t="n"/>
      <c r="L5" s="6" t="inlineStr">
        <is>
          <t>脑图路径=公共能力-ProgramResources批量查询-；Apifox API main BranchId=309401；PAPI-2553 / PAPI-2620</t>
        </is>
      </c>
    </row>
    <row r="6">
      <c r="A6" s="6" t="inlineStr">
        <is>
          <t>公共能力-ProjectTransportHub项目交通枢纽-</t>
        </is>
      </c>
      <c r="B6" s="6" t="inlineStr">
        <is>
          <t>RetrieveProjectTransportHubList</t>
        </is>
      </c>
      <c r="C6" s="6" t="inlineStr">
        <is>
          <t>携带有效 Token，传入合法 projectId 与单个 module 查询项目可用交通枢纽列表</t>
        </is>
      </c>
      <c r="D6" s="6" t="inlineStr">
        <is>
          <t>GET /v2/projects/{projectId}/transportHubs — RetrieveProjectTransportHubList</t>
        </is>
      </c>
      <c r="E6" s="6" t="inlineStr">
        <is>
          <t>返回 HTTP 200，code=0；返回指定 module 下项目可用交通枢纽列表</t>
        </is>
      </c>
      <c r="F6" s="6" t="inlineStr">
        <is>
          <t>P1</t>
        </is>
      </c>
      <c r="G6" s="6" t="inlineStr">
        <is>
          <t>接口</t>
        </is>
      </c>
      <c r="H6" s="6" t="inlineStr">
        <is>
          <t>未覆盖</t>
        </is>
      </c>
      <c r="I6" s="6" t="n"/>
      <c r="J6" s="6" t="n"/>
      <c r="K6" s="6" t="n"/>
      <c r="L6" s="6" t="inlineStr">
        <is>
          <t>脑图路径=公共能力-ProjectTransportHub项目交通枢纽-；Apifox API main BranchId=309401；PAPI-2553</t>
        </is>
      </c>
    </row>
    <row r="7">
      <c r="A7" s="6" t="inlineStr">
        <is>
          <t>公共能力-ProgramTransportHub批量查询-</t>
        </is>
      </c>
      <c r="B7" s="6" t="inlineStr">
        <is>
          <t>BatchRetrieveProgramTransportHubs</t>
        </is>
      </c>
      <c r="C7" s="6" t="inlineStr">
        <is>
          <t>携带有效 Token，传入合法 programIds 与单个 module 批量查询各 program 可用交通枢纽</t>
        </is>
      </c>
      <c r="D7" s="6" t="inlineStr">
        <is>
          <t>POST /v2/programs/transportHubs/batch — BatchRetrieveProgramTransportHubs</t>
        </is>
      </c>
      <c r="E7" s="6" t="inlineStr">
        <is>
          <t>返回 HTTP 200，code=0；批量返回各 program 可用交通枢纽列表</t>
        </is>
      </c>
      <c r="F7" s="6" t="inlineStr">
        <is>
          <t>P1</t>
        </is>
      </c>
      <c r="G7" s="6" t="inlineStr">
        <is>
          <t>接口</t>
        </is>
      </c>
      <c r="H7" s="6" t="inlineStr">
        <is>
          <t>未覆盖</t>
        </is>
      </c>
      <c r="I7" s="6" t="n"/>
      <c r="J7" s="6" t="n"/>
      <c r="K7" s="6" t="n"/>
      <c r="L7" s="6" t="inlineStr">
        <is>
          <t>脑图路径=公共能力-ProgramTransportHub批量查询-；Apifox API main BranchId=309401；PAPI-2553</t>
        </is>
      </c>
    </row>
    <row r="8">
      <c r="A8" s="6" t="inlineStr">
        <is>
          <t>EPass-创建验证链 · LocalOffer（pathModule=localOffers, module=11）</t>
        </is>
      </c>
      <c r="B8" s="6" t="inlineStr">
        <is>
          <t>Create E-pass Order</t>
        </is>
      </c>
      <c r="C8" s="6" t="inlineStr">
        <is>
          <t>携带有效 Token 及 X-Request-ID，path module 与 body module 一致，创建 E-pass 订单（pathModule=localOffers，body.module=11）</t>
        </is>
      </c>
      <c r="D8" s="6" t="inlineStr">
        <is>
          <t>POST /v2/orders/localOffers/ePasses [pathModule=localOffers, body.module=11] — Create E-pass Order</t>
        </is>
      </c>
      <c r="E8" s="6" t="inlineStr">
        <is>
          <t>返回 HTTP 200，code=0；data 含 orderId、ePassId、availableUsages、usedUsages=0，module/category 与入参一致</t>
        </is>
      </c>
      <c r="F8" s="6" t="inlineStr">
        <is>
          <t>P0</t>
        </is>
      </c>
      <c r="G8" s="6" t="inlineStr">
        <is>
          <t>接口</t>
        </is>
      </c>
      <c r="H8" s="6" t="inlineStr">
        <is>
          <t>已补充</t>
        </is>
      </c>
      <c r="I8" s="6" t="n"/>
      <c r="J8" s="6" t="n"/>
      <c r="K8" s="6" t="n"/>
      <c r="L8" s="6" t="inlineStr">
        <is>
          <t>主链路=EPass-创建验证链；Apifox API main BranchId=309401；模板=/v2/orders/{module}/ePasses</t>
        </is>
      </c>
    </row>
    <row r="9">
      <c r="A9" s="6" t="inlineStr">
        <is>
          <t>EPass-Bundle链 · LocalOffer（pathModule=localOffers, module=11）</t>
        </is>
      </c>
      <c r="B9" s="6" t="inlineStr">
        <is>
          <t>Create E-pass with Prebooking Order - Local Offer</t>
        </is>
      </c>
      <c r="C9" s="6" t="inlineStr">
        <is>
          <t>携带有效 Token 及 X-Request-ID，E-pass 下单同时绑定预约（Bundle）（pathModule=localOffers，body.module=11）</t>
        </is>
      </c>
      <c r="D9" s="6" t="inlineStr">
        <is>
          <t>POST /v2/orders/localOffers/ePasses/bundle [pathModule=localOffers, body.module=11] — Create E-pass with Prebooking Order - Local Offer</t>
        </is>
      </c>
      <c r="E9" s="6" t="inlineStr">
        <is>
          <t>返回 HTTP 200，code=0；同时返回 E-pass 与 prebooking 订单关联信息，两笔业务一次完成</t>
        </is>
      </c>
      <c r="F9" s="6" t="inlineStr">
        <is>
          <t>P0</t>
        </is>
      </c>
      <c r="G9" s="6" t="inlineStr">
        <is>
          <t>接口</t>
        </is>
      </c>
      <c r="H9" s="6" t="inlineStr">
        <is>
          <t>已补充</t>
        </is>
      </c>
      <c r="I9" s="6" t="n"/>
      <c r="J9" s="6" t="n"/>
      <c r="K9" s="6" t="n"/>
      <c r="L9" s="6" t="inlineStr">
        <is>
          <t>主链路=EPass-Bundle链；Apifox API main BranchId=309401；模板=/v2/orders/{module}/ePasses/bundle</t>
        </is>
      </c>
    </row>
    <row r="10">
      <c r="A10" s="6" t="inlineStr">
        <is>
          <t>EPass-Prebooking链 · LocalOffer（pathModule=localOffers, module=11）</t>
        </is>
      </c>
      <c r="B10" s="6" t="inlineStr">
        <is>
          <t>Create E-pass Prebooking Order - Local Offer</t>
        </is>
      </c>
      <c r="C10" s="6" t="inlineStr">
        <is>
          <t>携带有效 Token 及 X-Request-ID，用 E-pass 创建预约订单（Local Offer/eSIM 等 module）（pathModule=localOffers，body.module=11）</t>
        </is>
      </c>
      <c r="D10" s="6" t="inlineStr">
        <is>
          <t>POST /v2/orders/localOffers/ePasses/prebooking [pathModule=localOffers, body.module=11] — Create E-pass Prebooking Order - Local Offer</t>
        </is>
      </c>
      <c r="E10" s="6" t="inlineStr">
        <is>
          <t>返回 HTTP 200，code=0；data 含 orderId、预约凭证字段，E-pass availableUsages 相应扣减</t>
        </is>
      </c>
      <c r="F10" s="6" t="inlineStr">
        <is>
          <t>P0</t>
        </is>
      </c>
      <c r="G10" s="6" t="inlineStr">
        <is>
          <t>接口</t>
        </is>
      </c>
      <c r="H10" s="6" t="inlineStr">
        <is>
          <t>已补充</t>
        </is>
      </c>
      <c r="I10" s="6" t="n"/>
      <c r="J10" s="6" t="n"/>
      <c r="K10" s="6" t="n"/>
      <c r="L10" s="6" t="inlineStr">
        <is>
          <t>主链路=EPass-Prebooking链；Apifox API main BranchId=309401；模板=/v2/orders/{module}/ePasses/prebooking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2026-05-26T08:09:12Z</dcterms:created>
  <dcterms:modified xsi:type="dcterms:W3CDTF">2026-06-02T11:23:22Z</dcterms:modified>
</cp:coreProperties>
</file>